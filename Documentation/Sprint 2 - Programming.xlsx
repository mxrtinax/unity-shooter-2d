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4K\Desktop\Documentatie\"/>
    </mc:Choice>
  </mc:AlternateContent>
  <xr:revisionPtr revIDLastSave="0" documentId="13_ncr:1_{64D0F416-D91A-49AC-954B-654F44A35209}" xr6:coauthVersionLast="47" xr6:coauthVersionMax="47" xr10:uidLastSave="{00000000-0000-0000-0000-000000000000}"/>
  <bookViews>
    <workbookView xWindow="1992" yWindow="348" windowWidth="25404" windowHeight="13764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4" i="1"/>
  <c r="E11" i="1"/>
  <c r="E13" i="1"/>
  <c r="E10" i="1"/>
  <c r="D9" i="1"/>
  <c r="E9" i="1" s="1"/>
  <c r="R17" i="1"/>
  <c r="D16" i="1" s="1"/>
  <c r="D17" i="1" l="1"/>
  <c r="D19" i="1"/>
  <c r="D20" i="1" s="1"/>
  <c r="D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9" authorId="0" shapeId="0" xr:uid="{00000000-0006-0000-0000-000001000000}">
      <text>
        <r>
          <rPr>
            <sz val="11"/>
            <color theme="1"/>
            <rFont val="Calibri"/>
            <scheme val="minor"/>
          </rPr>
          <t>the sum of sprint tasks estimation should not exceed this number
	-Oana Adriana Soica</t>
        </r>
      </text>
    </comment>
  </commentList>
</comments>
</file>

<file path=xl/sharedStrings.xml><?xml version="1.0" encoding="utf-8"?>
<sst xmlns="http://schemas.openxmlformats.org/spreadsheetml/2006/main" count="27" uniqueCount="27">
  <si>
    <t>Sprint Capacity Planner</t>
  </si>
  <si>
    <t>Max Limit</t>
  </si>
  <si>
    <t>Team Hours</t>
  </si>
  <si>
    <t>Sprint Days</t>
  </si>
  <si>
    <t>Team Members</t>
  </si>
  <si>
    <t>Team Member</t>
  </si>
  <si>
    <t>Allocation</t>
  </si>
  <si>
    <t>Sprint Length (Days)</t>
  </si>
  <si>
    <t>Hours per day</t>
  </si>
  <si>
    <t>Focus Factor</t>
  </si>
  <si>
    <t>Daily stand-ups (Hours/Sprint)</t>
  </si>
  <si>
    <t>Sprint Planning Duration (Hours/Sprint)</t>
  </si>
  <si>
    <t>Sprint Review (Hours/Sprint)</t>
  </si>
  <si>
    <t>Sprint Retrospective (Hours/Sprint)</t>
  </si>
  <si>
    <t>Sprint Refinements (Hours/Sprint)</t>
  </si>
  <si>
    <t>Other meetings (Hours/Sprint)</t>
  </si>
  <si>
    <t>Total Capacity (Hours)</t>
  </si>
  <si>
    <t>Total Meeting Time (Hours)</t>
  </si>
  <si>
    <t>Total Team Time (Hours)</t>
  </si>
  <si>
    <t>Focus Time (Hours)</t>
  </si>
  <si>
    <t>Plan Capacity (Hours)</t>
  </si>
  <si>
    <t>Plan Capacity (Days)</t>
  </si>
  <si>
    <t>Adrian Visla</t>
  </si>
  <si>
    <t>Paul Martinas</t>
  </si>
  <si>
    <t>Andrei Roman</t>
  </si>
  <si>
    <t>Robert Roman</t>
  </si>
  <si>
    <t>Stefan Boboc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</si>
</sst>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scheme val="minor"/>
    </font>
    <font>
      <b/>
      <sz val="14"/>
      <color theme="1"/>
      <name val="Calibri"/>
      <scheme val="minor"/>
    </font>
    <font>
      <sz val="11"/>
      <name val="Calibri"/>
    </font>
    <font>
      <b/>
      <sz val="11"/>
      <color theme="1"/>
      <name val="Calibri"/>
      <scheme val="minor"/>
    </font>
    <font>
      <sz val="11"/>
      <color rgb="FFC00000"/>
      <name val="Calibri"/>
      <scheme val="minor"/>
    </font>
    <font>
      <sz val="11"/>
      <color rgb="FF1F3864"/>
      <name val="Calibri"/>
      <scheme val="minor"/>
    </font>
    <font>
      <b/>
      <sz val="11"/>
      <color rgb="FF1F3864"/>
      <name val="Calibri"/>
      <scheme val="minor"/>
    </font>
    <font>
      <b/>
      <sz val="11"/>
      <color rgb="FFC00000"/>
      <name val="Calibri"/>
      <scheme val="minor"/>
    </font>
    <font>
      <b/>
      <sz val="11"/>
      <color theme="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1C4587"/>
        <bgColor rgb="FF1C4587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0" xfId="0" applyAlignment="1">
      <alignment horizontal="center"/>
    </xf>
    <xf numFmtId="0" fontId="0" fillId="2" borderId="2" xfId="0" applyFill="1" applyBorder="1"/>
    <xf numFmtId="0" fontId="0" fillId="2" borderId="4" xfId="0" applyFill="1" applyBorder="1"/>
    <xf numFmtId="0" fontId="0" fillId="3" borderId="4" xfId="0" applyFill="1" applyBorder="1"/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3" fillId="2" borderId="4" xfId="0" applyFont="1" applyFill="1" applyBorder="1"/>
    <xf numFmtId="0" fontId="3" fillId="4" borderId="4" xfId="0" applyFont="1" applyFill="1" applyBorder="1"/>
    <xf numFmtId="0" fontId="3" fillId="4" borderId="4" xfId="0" applyFont="1" applyFill="1" applyBorder="1" applyAlignment="1">
      <alignment horizontal="center"/>
    </xf>
    <xf numFmtId="0" fontId="3" fillId="3" borderId="4" xfId="0" applyFont="1" applyFill="1" applyBorder="1"/>
    <xf numFmtId="0" fontId="0" fillId="3" borderId="4" xfId="0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0" fontId="0" fillId="5" borderId="4" xfId="0" applyFill="1" applyBorder="1"/>
    <xf numFmtId="9" fontId="4" fillId="5" borderId="4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4" borderId="4" xfId="0" applyFill="1" applyBorder="1"/>
    <xf numFmtId="9" fontId="4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9" fontId="5" fillId="3" borderId="4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2" fontId="5" fillId="3" borderId="4" xfId="0" applyNumberFormat="1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3" fillId="6" borderId="4" xfId="0" applyFont="1" applyFill="1" applyBorder="1"/>
    <xf numFmtId="0" fontId="6" fillId="6" borderId="4" xfId="0" applyFont="1" applyFill="1" applyBorder="1" applyAlignment="1">
      <alignment horizontal="center"/>
    </xf>
    <xf numFmtId="2" fontId="6" fillId="6" borderId="4" xfId="0" applyNumberFormat="1" applyFont="1" applyFill="1" applyBorder="1" applyAlignment="1">
      <alignment horizontal="center"/>
    </xf>
    <xf numFmtId="2" fontId="7" fillId="6" borderId="4" xfId="0" applyNumberFormat="1" applyFont="1" applyFill="1" applyBorder="1" applyAlignment="1">
      <alignment horizontal="center"/>
    </xf>
    <xf numFmtId="1" fontId="8" fillId="7" borderId="4" xfId="0" applyNumberFormat="1" applyFont="1" applyFill="1" applyBorder="1" applyAlignment="1">
      <alignment horizontal="center"/>
    </xf>
    <xf numFmtId="164" fontId="8" fillId="7" borderId="4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3" fillId="4" borderId="4" xfId="0" applyFont="1" applyFill="1" applyBorder="1" applyAlignment="1">
      <alignment horizontal="center"/>
    </xf>
    <xf numFmtId="0" fontId="2" fillId="0" borderId="4" xfId="0" applyFont="1" applyBorder="1"/>
    <xf numFmtId="0" fontId="6" fillId="4" borderId="4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99999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003"/>
  <sheetViews>
    <sheetView tabSelected="1" workbookViewId="0">
      <selection activeCell="I6" sqref="I6"/>
    </sheetView>
  </sheetViews>
  <sheetFormatPr defaultColWidth="14.44140625" defaultRowHeight="15" customHeight="1"/>
  <cols>
    <col min="1" max="1" width="8.6640625" customWidth="1"/>
    <col min="2" max="2" width="3.88671875" customWidth="1"/>
    <col min="3" max="3" width="39.88671875" customWidth="1"/>
    <col min="4" max="4" width="10.5546875" customWidth="1"/>
    <col min="5" max="5" width="11.5546875" customWidth="1"/>
    <col min="6" max="6" width="4.109375" customWidth="1"/>
    <col min="7" max="7" width="15.33203125" customWidth="1"/>
    <col min="8" max="8" width="14.5546875" customWidth="1"/>
    <col min="9" max="18" width="7.109375" customWidth="1"/>
    <col min="19" max="19" width="4.5546875" customWidth="1"/>
    <col min="20" max="26" width="8.6640625" customWidth="1"/>
  </cols>
  <sheetData>
    <row r="1" spans="2:19" ht="14.25" customHeight="1"/>
    <row r="2" spans="2:19" ht="22.5" customHeight="1">
      <c r="B2" s="1"/>
      <c r="C2" s="9"/>
      <c r="D2" s="9"/>
      <c r="E2" s="36" t="s">
        <v>0</v>
      </c>
      <c r="F2" s="37"/>
      <c r="G2" s="3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2"/>
    </row>
    <row r="3" spans="2:19" ht="14.25" customHeight="1">
      <c r="B3" s="4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3"/>
    </row>
    <row r="4" spans="2:19" ht="14.25" customHeight="1">
      <c r="B4" s="4"/>
      <c r="C4" s="11"/>
      <c r="D4" s="12" t="s">
        <v>1</v>
      </c>
      <c r="E4" s="13" t="s">
        <v>2</v>
      </c>
      <c r="F4" s="14"/>
      <c r="G4" s="15"/>
      <c r="H4" s="16"/>
      <c r="I4" s="38" t="s">
        <v>3</v>
      </c>
      <c r="J4" s="39"/>
      <c r="K4" s="39"/>
      <c r="L4" s="39"/>
      <c r="M4" s="39"/>
      <c r="N4" s="39"/>
      <c r="O4" s="39"/>
      <c r="P4" s="39"/>
      <c r="Q4" s="39"/>
      <c r="R4" s="39"/>
      <c r="S4" s="3"/>
    </row>
    <row r="5" spans="2:19" ht="14.25" customHeight="1">
      <c r="B5" s="4"/>
      <c r="C5" s="17" t="s">
        <v>4</v>
      </c>
      <c r="D5" s="18">
        <v>5</v>
      </c>
      <c r="E5" s="18"/>
      <c r="F5" s="14"/>
      <c r="G5" s="19" t="s">
        <v>5</v>
      </c>
      <c r="H5" s="16" t="s">
        <v>6</v>
      </c>
      <c r="I5" s="16">
        <v>1</v>
      </c>
      <c r="J5" s="16">
        <v>2</v>
      </c>
      <c r="K5" s="16">
        <v>3</v>
      </c>
      <c r="L5" s="16">
        <v>4</v>
      </c>
      <c r="M5" s="16">
        <v>5</v>
      </c>
      <c r="N5" s="16">
        <v>6</v>
      </c>
      <c r="O5" s="16">
        <v>7</v>
      </c>
      <c r="P5" s="16">
        <v>8</v>
      </c>
      <c r="Q5" s="16">
        <v>9</v>
      </c>
      <c r="R5" s="16">
        <v>10</v>
      </c>
      <c r="S5" s="3"/>
    </row>
    <row r="6" spans="2:19" ht="14.25" customHeight="1">
      <c r="B6" s="4"/>
      <c r="C6" s="17" t="s">
        <v>7</v>
      </c>
      <c r="D6" s="18">
        <v>7</v>
      </c>
      <c r="E6" s="18"/>
      <c r="F6" s="10"/>
      <c r="G6" s="20" t="s">
        <v>22</v>
      </c>
      <c r="H6" s="21">
        <v>1</v>
      </c>
      <c r="I6" s="22">
        <v>0</v>
      </c>
      <c r="J6" s="22">
        <v>2</v>
      </c>
      <c r="K6" s="22">
        <v>4</v>
      </c>
      <c r="L6" s="22">
        <v>3</v>
      </c>
      <c r="M6" s="22">
        <v>1</v>
      </c>
      <c r="N6" s="22">
        <v>3</v>
      </c>
      <c r="O6" s="22">
        <v>1</v>
      </c>
      <c r="P6" s="22"/>
      <c r="Q6" s="22"/>
      <c r="R6" s="22"/>
      <c r="S6" s="3"/>
    </row>
    <row r="7" spans="2:19" ht="14.25" customHeight="1">
      <c r="B7" s="4"/>
      <c r="C7" s="17" t="s">
        <v>8</v>
      </c>
      <c r="D7" s="18">
        <v>4</v>
      </c>
      <c r="E7" s="18"/>
      <c r="F7" s="10"/>
      <c r="G7" s="23" t="s">
        <v>23</v>
      </c>
      <c r="H7" s="24">
        <v>1</v>
      </c>
      <c r="I7" s="25">
        <v>3</v>
      </c>
      <c r="J7" s="25">
        <v>2</v>
      </c>
      <c r="K7" s="25">
        <v>2.5</v>
      </c>
      <c r="L7" s="25">
        <v>1.5</v>
      </c>
      <c r="M7" s="25">
        <v>1.5</v>
      </c>
      <c r="N7" s="25">
        <v>2</v>
      </c>
      <c r="O7" s="25">
        <v>0</v>
      </c>
      <c r="P7" s="25"/>
      <c r="Q7" s="25"/>
      <c r="R7" s="25"/>
      <c r="S7" s="3"/>
    </row>
    <row r="8" spans="2:19" ht="14.25" customHeight="1">
      <c r="B8" s="4"/>
      <c r="C8" s="17" t="s">
        <v>9</v>
      </c>
      <c r="D8" s="26">
        <v>0.65</v>
      </c>
      <c r="E8" s="27"/>
      <c r="F8" s="10"/>
      <c r="G8" s="20" t="s">
        <v>24</v>
      </c>
      <c r="H8" s="21">
        <v>1</v>
      </c>
      <c r="I8" s="22">
        <v>3</v>
      </c>
      <c r="J8" s="22">
        <v>3</v>
      </c>
      <c r="K8" s="22">
        <v>4</v>
      </c>
      <c r="L8" s="22">
        <v>3</v>
      </c>
      <c r="M8" s="22">
        <v>1</v>
      </c>
      <c r="N8" s="22">
        <v>0</v>
      </c>
      <c r="O8" s="22">
        <v>1</v>
      </c>
      <c r="P8" s="22"/>
      <c r="Q8" s="22"/>
      <c r="R8" s="22"/>
      <c r="S8" s="3"/>
    </row>
    <row r="9" spans="2:19" ht="14.25" customHeight="1">
      <c r="B9" s="4"/>
      <c r="C9" s="17" t="s">
        <v>10</v>
      </c>
      <c r="D9" s="28">
        <f>0.25</f>
        <v>0.25</v>
      </c>
      <c r="E9" s="27">
        <f>D5*D9*D6</f>
        <v>8.75</v>
      </c>
      <c r="F9" s="10"/>
      <c r="G9" s="23" t="s">
        <v>25</v>
      </c>
      <c r="H9" s="24">
        <v>1</v>
      </c>
      <c r="I9" s="25">
        <v>4</v>
      </c>
      <c r="J9" s="25">
        <v>3</v>
      </c>
      <c r="K9" s="25">
        <v>3</v>
      </c>
      <c r="L9" s="25">
        <v>2.5</v>
      </c>
      <c r="M9" s="25">
        <v>3</v>
      </c>
      <c r="N9" s="25">
        <v>1</v>
      </c>
      <c r="O9" s="25">
        <v>0</v>
      </c>
      <c r="P9" s="25"/>
      <c r="Q9" s="25"/>
      <c r="R9" s="25"/>
      <c r="S9" s="3"/>
    </row>
    <row r="10" spans="2:19" ht="14.25" customHeight="1">
      <c r="B10" s="4"/>
      <c r="C10" s="17" t="s">
        <v>11</v>
      </c>
      <c r="D10" s="27">
        <v>1</v>
      </c>
      <c r="E10" s="27">
        <f>D5*D10</f>
        <v>5</v>
      </c>
      <c r="F10" s="10"/>
      <c r="G10" s="20" t="s">
        <v>26</v>
      </c>
      <c r="H10" s="21">
        <v>1</v>
      </c>
      <c r="I10" s="22">
        <v>1</v>
      </c>
      <c r="J10" s="22">
        <v>3</v>
      </c>
      <c r="K10" s="22">
        <v>4</v>
      </c>
      <c r="L10" s="22">
        <v>0.5</v>
      </c>
      <c r="M10" s="22">
        <v>0.5</v>
      </c>
      <c r="N10" s="22">
        <v>4</v>
      </c>
      <c r="O10" s="22">
        <v>4</v>
      </c>
      <c r="P10" s="22"/>
      <c r="Q10" s="22"/>
      <c r="R10" s="8"/>
      <c r="S10" s="3"/>
    </row>
    <row r="11" spans="2:19" ht="14.25" customHeight="1">
      <c r="B11" s="4"/>
      <c r="C11" s="17" t="s">
        <v>12</v>
      </c>
      <c r="D11" s="28">
        <v>0.4</v>
      </c>
      <c r="E11" s="28">
        <f>D5*D11</f>
        <v>2</v>
      </c>
      <c r="F11" s="10"/>
      <c r="G11" s="23"/>
      <c r="H11" s="24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3"/>
    </row>
    <row r="12" spans="2:19" ht="14.25" customHeight="1">
      <c r="B12" s="4"/>
      <c r="C12" s="17" t="s">
        <v>13</v>
      </c>
      <c r="D12" s="27">
        <v>1</v>
      </c>
      <c r="E12" s="27">
        <f>D5*D12</f>
        <v>5</v>
      </c>
      <c r="F12" s="10"/>
      <c r="G12" s="20"/>
      <c r="H12" s="21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3"/>
    </row>
    <row r="13" spans="2:19" ht="14.25" customHeight="1">
      <c r="B13" s="4"/>
      <c r="C13" s="17" t="s">
        <v>14</v>
      </c>
      <c r="D13" s="27">
        <v>0.75</v>
      </c>
      <c r="E13" s="27">
        <f>D5*D13</f>
        <v>3.75</v>
      </c>
      <c r="F13" s="10"/>
      <c r="G13" s="23"/>
      <c r="H13" s="24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3"/>
    </row>
    <row r="14" spans="2:19" ht="14.25" customHeight="1">
      <c r="B14" s="4"/>
      <c r="C14" s="17" t="s">
        <v>15</v>
      </c>
      <c r="D14" s="27">
        <v>1</v>
      </c>
      <c r="E14" s="27">
        <f>D5*D14</f>
        <v>5</v>
      </c>
      <c r="F14" s="10"/>
      <c r="G14" s="20"/>
      <c r="H14" s="21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3"/>
    </row>
    <row r="15" spans="2:19" ht="14.25" customHeight="1">
      <c r="B15" s="4"/>
      <c r="C15" s="17"/>
      <c r="D15" s="18"/>
      <c r="E15" s="18"/>
      <c r="F15" s="10"/>
      <c r="G15" s="23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3"/>
    </row>
    <row r="16" spans="2:19" ht="14.25" customHeight="1">
      <c r="B16" s="4"/>
      <c r="C16" s="30" t="s">
        <v>16</v>
      </c>
      <c r="D16" s="31">
        <f>R17</f>
        <v>75</v>
      </c>
      <c r="E16" s="11"/>
      <c r="F16" s="10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3"/>
    </row>
    <row r="17" spans="2:19" ht="14.25" customHeight="1">
      <c r="B17" s="4"/>
      <c r="C17" s="30" t="s">
        <v>17</v>
      </c>
      <c r="D17" s="32">
        <f>SUM(E9:E14)</f>
        <v>29.5</v>
      </c>
      <c r="E17" s="11"/>
      <c r="F17" s="10"/>
      <c r="G17" s="40" t="s">
        <v>18</v>
      </c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41">
        <f>SUM(I6:R14)</f>
        <v>75</v>
      </c>
      <c r="S17" s="3"/>
    </row>
    <row r="18" spans="2:19" ht="14.25" customHeight="1">
      <c r="B18" s="4"/>
      <c r="C18" s="30" t="s">
        <v>19</v>
      </c>
      <c r="D18" s="33">
        <f>(D16-D17)*(1-D8)</f>
        <v>15.924999999999999</v>
      </c>
      <c r="E18" s="11"/>
      <c r="F18" s="10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"/>
    </row>
    <row r="19" spans="2:19" ht="14.25" customHeight="1">
      <c r="B19" s="4"/>
      <c r="C19" s="30" t="s">
        <v>20</v>
      </c>
      <c r="D19" s="34">
        <f>(D16-D17)*D8</f>
        <v>29.574999999999999</v>
      </c>
      <c r="E19" s="18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3"/>
    </row>
    <row r="20" spans="2:19" ht="14.25" customHeight="1">
      <c r="B20" s="4"/>
      <c r="C20" s="30" t="s">
        <v>21</v>
      </c>
      <c r="D20" s="35">
        <f>D19/8</f>
        <v>3.6968749999999999</v>
      </c>
      <c r="E20" s="18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3"/>
    </row>
    <row r="21" spans="2:19" ht="14.25" customHeight="1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7"/>
    </row>
    <row r="22" spans="2:19" ht="14.25" customHeight="1"/>
    <row r="23" spans="2:19" ht="14.25" customHeight="1">
      <c r="D23" s="8"/>
    </row>
    <row r="24" spans="2:19" ht="14.25" customHeight="1">
      <c r="D24" s="8"/>
    </row>
    <row r="25" spans="2:19" ht="14.25" customHeight="1">
      <c r="D25" s="8"/>
    </row>
    <row r="26" spans="2:19" ht="14.25" customHeight="1">
      <c r="D26" s="8"/>
    </row>
    <row r="27" spans="2:19" ht="14.25" customHeight="1">
      <c r="D27" s="8"/>
    </row>
    <row r="28" spans="2:19" ht="14.25" customHeight="1"/>
    <row r="29" spans="2:19" ht="14.25" customHeight="1"/>
    <row r="30" spans="2:19" ht="14.25" customHeight="1"/>
    <row r="31" spans="2:19" ht="14.25" customHeight="1"/>
    <row r="32" spans="2:1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4">
    <mergeCell ref="E2:G2"/>
    <mergeCell ref="I4:R4"/>
    <mergeCell ref="G17:Q18"/>
    <mergeCell ref="R17:R18"/>
  </mergeCells>
  <conditionalFormatting sqref="H6:R9 H11:R15 H10:Q10">
    <cfRule type="cellIs" dxfId="0" priority="1" operator="equal">
      <formula>0</formula>
    </cfRule>
  </conditionalFormatting>
  <pageMargins left="0.7" right="0.7" top="0.75" bottom="0.75" header="0" footer="0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1F5BF9BA03CD448733D401D2715B86" ma:contentTypeVersion="6" ma:contentTypeDescription="Create a new document." ma:contentTypeScope="" ma:versionID="eb3614a9e408adde10eb4d71d4895d76">
  <xsd:schema xmlns:xsd="http://www.w3.org/2001/XMLSchema" xmlns:xs="http://www.w3.org/2001/XMLSchema" xmlns:p="http://schemas.microsoft.com/office/2006/metadata/properties" xmlns:ns2="d040b213-39be-4216-a7d7-4c420e05192f" xmlns:ns3="d5984b22-f06d-428a-9753-d5eac3e5b778" targetNamespace="http://schemas.microsoft.com/office/2006/metadata/properties" ma:root="true" ma:fieldsID="d4a88bbfa7bb68f8259b6aba89b1dd6e" ns2:_="" ns3:_="">
    <xsd:import namespace="d040b213-39be-4216-a7d7-4c420e05192f"/>
    <xsd:import namespace="d5984b22-f06d-428a-9753-d5eac3e5b77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0b213-39be-4216-a7d7-4c420e05192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84b22-f06d-428a-9753-d5eac3e5b7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0FDF81-3398-4A0A-AABE-5A7CD9F12AD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EA2E356-37A2-4326-814F-D3B7C6AD2B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C69FC6-5E72-492A-B76B-B6A2004037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40b213-39be-4216-a7d7-4c420e05192f"/>
    <ds:schemaRef ds:uri="d5984b22-f06d-428a-9753-d5eac3e5b7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Visla Adrian</cp:lastModifiedBy>
  <cp:revision/>
  <dcterms:created xsi:type="dcterms:W3CDTF">2022-11-07T12:58:33Z</dcterms:created>
  <dcterms:modified xsi:type="dcterms:W3CDTF">2023-01-30T23:54:19Z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0x010100DF1F5BF9BA03CD448733D401D2715B86</vt:lpwstr>
  </property>
</Properties>
</file>